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  <col width="10" customWidth="1" min="4" max="4"/>
    <col width="12" customWidth="1" min="5" max="5"/>
    <col width="15" customWidth="1" min="6" max="6"/>
    <col width="16" customWidth="1" min="7" max="7"/>
  </cols>
  <sheetData>
    <row r="1">
      <c r="A1" s="1" t="inlineStr">
        <is>
          <t>UV-1800 UV-VIS SPECTROPHOTOMETER - DATA REPORT</t>
        </is>
      </c>
    </row>
    <row r="2">
      <c r="A2" t="inlineStr">
        <is>
          <t>Software: UVProbe v2.70</t>
        </is>
      </c>
    </row>
    <row r="3">
      <c r="A3" t="inlineStr">
        <is>
          <t>Date: 12-Sep-2026   Time: 14:32</t>
        </is>
      </c>
    </row>
    <row r="4">
      <c r="A4" t="inlineStr">
        <is>
          <t>Operator: J. Alharbi</t>
        </is>
      </c>
    </row>
    <row r="5">
      <c r="A5" t="inlineStr">
        <is>
          <t>Method: Total Phenolic Content (Folin-Ciocalteu), 765 nm</t>
        </is>
      </c>
    </row>
    <row r="7">
      <c r="A7" s="2" t="inlineStr">
        <is>
          <t>Calibration Standards (Gallic Acid Equivalent)</t>
        </is>
      </c>
    </row>
    <row r="8">
      <c r="A8" s="1" t="inlineStr">
        <is>
          <t>Std</t>
        </is>
      </c>
      <c r="B8" s="1" t="inlineStr">
        <is>
          <t>Conc (ug/mL)</t>
        </is>
      </c>
      <c r="C8" s="1" t="inlineStr">
        <is>
          <t>Abs (765nm)</t>
        </is>
      </c>
    </row>
    <row r="9">
      <c r="A9" t="inlineStr">
        <is>
          <t>Blank</t>
        </is>
      </c>
      <c r="B9" t="n">
        <v>0</v>
      </c>
      <c r="C9" t="n">
        <v>0.002</v>
      </c>
    </row>
    <row r="10">
      <c r="A10" t="inlineStr">
        <is>
          <t>Std 1</t>
        </is>
      </c>
      <c r="B10" t="n">
        <v>10</v>
      </c>
      <c r="C10" t="n">
        <v>0.101</v>
      </c>
    </row>
    <row r="11">
      <c r="A11" t="inlineStr">
        <is>
          <t>Std 2</t>
        </is>
      </c>
      <c r="B11" t="n">
        <v>20</v>
      </c>
      <c r="C11" t="n">
        <v>0.19</v>
      </c>
    </row>
    <row r="12">
      <c r="A12" t="inlineStr">
        <is>
          <t>Std 3</t>
        </is>
      </c>
      <c r="B12" t="n">
        <v>40</v>
      </c>
      <c r="C12" t="n">
        <v>0.368</v>
      </c>
    </row>
    <row r="13">
      <c r="A13" t="inlineStr">
        <is>
          <t>Std 4</t>
        </is>
      </c>
      <c r="B13" t="n">
        <v>80</v>
      </c>
      <c r="C13" t="n">
        <v>0.724</v>
      </c>
    </row>
    <row r="14">
      <c r="A14" t="inlineStr">
        <is>
          <t>Std 5</t>
        </is>
      </c>
      <c r="B14" t="n">
        <v>160</v>
      </c>
      <c r="C14" t="n">
        <v>1.436</v>
      </c>
    </row>
    <row r="16">
      <c r="A16" s="2" t="inlineStr">
        <is>
          <t>Sample Extracts</t>
        </is>
      </c>
    </row>
    <row r="17">
      <c r="A17" s="1" t="inlineStr">
        <is>
          <t>Sample Name</t>
        </is>
      </c>
      <c r="B17" s="1" t="inlineStr">
        <is>
          <t>Abs 1</t>
        </is>
      </c>
      <c r="C17" s="1" t="inlineStr">
        <is>
          <t>Abs 2</t>
        </is>
      </c>
      <c r="D17" s="1" t="inlineStr">
        <is>
          <t>Abs 3</t>
        </is>
      </c>
      <c r="E17" s="1" t="inlineStr">
        <is>
          <t>Mean Abs</t>
        </is>
      </c>
      <c r="F17" s="1" t="inlineStr">
        <is>
          <t>Dilution Factor</t>
        </is>
      </c>
      <c r="G17" s="1" t="inlineStr">
        <is>
          <t>TPC (mg GAE/g)</t>
        </is>
      </c>
    </row>
    <row r="18">
      <c r="A18" t="inlineStr">
        <is>
          <t>Rosemary Extract</t>
        </is>
      </c>
      <c r="B18" t="n">
        <v>0.508</v>
      </c>
      <c r="C18" t="n">
        <v>0.515</v>
      </c>
      <c r="D18" t="n">
        <v>0.513</v>
      </c>
      <c r="E18">
        <f>AVERAGE(B18:D18)</f>
        <v/>
      </c>
      <c r="F18" t="n">
        <v>1</v>
      </c>
      <c r="G18">
        <f>((E18-0.0123)/0.0089)*F18*0.025</f>
        <v/>
      </c>
    </row>
    <row r="19">
      <c r="A19" t="inlineStr">
        <is>
          <t>Green Tea Extract</t>
        </is>
      </c>
      <c r="B19" t="n">
        <v>0.6870000000000001</v>
      </c>
      <c r="C19" t="n">
        <v>0.695</v>
      </c>
      <c r="D19" t="n">
        <v>0.6899999999999999</v>
      </c>
      <c r="E19">
        <f>AVERAGE(B19:D19)</f>
        <v/>
      </c>
      <c r="F19" t="n">
        <v>1</v>
      </c>
      <c r="G19">
        <f>((E19-0.0123)/0.0089)*F19*0.025</f>
        <v/>
      </c>
    </row>
    <row r="20">
      <c r="A20" t="inlineStr">
        <is>
          <t>Turmeric Extract</t>
        </is>
      </c>
      <c r="B20" t="n">
        <v>0.298</v>
      </c>
      <c r="C20" t="n">
        <v>0.305</v>
      </c>
      <c r="D20" t="n">
        <v>0.301</v>
      </c>
      <c r="E20">
        <f>AVERAGE(B20:D20)</f>
        <v/>
      </c>
      <c r="F20" t="n">
        <v>1</v>
      </c>
      <c r="G20">
        <f>((E20-0.0123)/0.0089)*F20*0.025</f>
        <v/>
      </c>
    </row>
    <row r="21">
      <c r="A21" t="inlineStr">
        <is>
          <t>Ginger Extract</t>
        </is>
      </c>
      <c r="B21" t="n">
        <v>0.415</v>
      </c>
      <c r="C21" t="n">
        <v>0.409</v>
      </c>
      <c r="D21" t="n">
        <v>0.421</v>
      </c>
      <c r="E21">
        <f>AVERAGE(B21:D21)</f>
        <v/>
      </c>
      <c r="F21" t="n">
        <v>1</v>
      </c>
      <c r="G21">
        <f>((E21-0.0123)/0.0089)*F21*0.025</f>
        <v/>
      </c>
    </row>
    <row r="22">
      <c r="A22" t="inlineStr">
        <is>
          <t>Clove Extract</t>
        </is>
      </c>
      <c r="B22" t="n">
        <v>0.876</v>
      </c>
      <c r="C22" t="n">
        <v>0.881</v>
      </c>
      <c r="D22" t="n">
        <v>0.869</v>
      </c>
      <c r="E22">
        <f>AVERAGE(B22:D22)</f>
        <v/>
      </c>
      <c r="F22" t="n">
        <v>1</v>
      </c>
      <c r="G22">
        <f>((E22-0.0123)/0.0089)*F22*0.025</f>
        <v/>
      </c>
    </row>
    <row r="23">
      <c r="A23" t="inlineStr">
        <is>
          <t>Cinnamon Extract</t>
        </is>
      </c>
      <c r="B23" t="n">
        <v>0.203</v>
      </c>
      <c r="C23" t="n">
        <v>0.198</v>
      </c>
      <c r="D23" t="n">
        <v>0.207</v>
      </c>
      <c r="E23">
        <f>AVERAGE(B23:D23)</f>
        <v/>
      </c>
      <c r="F23" t="n">
        <v>5</v>
      </c>
      <c r="G23">
        <f>((E23-0.0123)/0.0089)*F23*0.025</f>
        <v/>
      </c>
    </row>
    <row r="24">
      <c r="A24" t="inlineStr">
        <is>
          <t>Black Pepper Extract</t>
        </is>
      </c>
      <c r="B24" t="n">
        <v>0.156</v>
      </c>
      <c r="C24" t="n">
        <v>0.161</v>
      </c>
      <c r="D24" t="n">
        <v>0.152</v>
      </c>
      <c r="E24">
        <f>AVERAGE(B24:D24)</f>
        <v/>
      </c>
      <c r="F24" t="n">
        <v>5</v>
      </c>
      <c r="G24">
        <f>((E24-0.0123)/0.0089)*F24*0.025</f>
        <v/>
      </c>
    </row>
    <row r="25">
      <c r="A25" t="inlineStr">
        <is>
          <t>Thyme Extract</t>
        </is>
      </c>
      <c r="B25" t="inlineStr">
        <is>
          <t>n.d.</t>
        </is>
      </c>
      <c r="C25" t="n">
        <v>0.234</v>
      </c>
      <c r="D25" t="n">
        <v>0.229</v>
      </c>
      <c r="E25">
        <f>AVERAGE(B25:D25)</f>
        <v/>
      </c>
      <c r="F25" t="n">
        <v>5</v>
      </c>
      <c r="G25">
        <f>((E25-0.0123)/0.0089)*F25*0.025</f>
        <v/>
      </c>
    </row>
    <row r="27">
      <c r="A27" t="inlineStr">
        <is>
          <t>Note: Samples 6-8 (Cinnamon, Black Pepper, Thyme) diluted 1:5 with distilled water prior to assay due to high initial absorbance.</t>
        </is>
      </c>
    </row>
    <row r="28">
      <c r="A28" t="inlineStr">
        <is>
          <t>Calibration curve: y = 0.0089x + 0.0123  (R^2 = 0.9967)</t>
        </is>
      </c>
    </row>
    <row r="29">
      <c r="A29" t="inlineStr">
        <is>
          <t>n.d. = not detected / reading rejected (turbidity interference)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2026-09-20T18:13:25Z</dcterms:created>
  <dcterms:modified xsi:type="dcterms:W3CDTF">2026-09-20T18:13:25Z</dcterms:modified>
</cp:coreProperties>
</file>